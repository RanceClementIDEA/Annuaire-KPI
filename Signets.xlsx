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ideaproginov-my.sharepoint.com/personal/crance_groupe-idea_com/Documents/Documents/Signets/"/>
    </mc:Choice>
  </mc:AlternateContent>
  <xr:revisionPtr revIDLastSave="2" documentId="8_{93BFF673-9EDC-4317-85A9-098E1C356F31}" xr6:coauthVersionLast="47" xr6:coauthVersionMax="47" xr10:uidLastSave="{3F6CF051-4A9A-4292-89ED-1082E9A2B341}"/>
  <bookViews>
    <workbookView xWindow="-108" yWindow="-108" windowWidth="23256" windowHeight="12456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J4" i="1"/>
  <c r="J3" i="1"/>
  <c r="J2" i="1"/>
  <c r="J40" i="1"/>
  <c r="J39" i="1"/>
  <c r="J38" i="1"/>
  <c r="J25" i="1"/>
  <c r="J24" i="1"/>
  <c r="J23" i="1"/>
  <c r="J22" i="1"/>
  <c r="J21" i="1"/>
  <c r="J10" i="1"/>
  <c r="J5" i="1"/>
  <c r="J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tc={3F1153AF-20D2-4AC1-A687-BABF04A26A7D}</author>
    <author>tc={BE9B8969-5670-430E-9B3D-94604390A2C3}</author>
  </authors>
  <commentList>
    <comment ref="J1" authorId="0" shapeId="0" xr:uid="{3F1153AF-20D2-4AC1-A687-BABF04A26A7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MG / BAK / DAN / LGB</t>
      </text>
    </comment>
    <comment ref="L1" authorId="1" shapeId="0" xr:uid="{BE9B8969-5670-430E-9B3D-94604390A2C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hors armateur</t>
      </text>
    </comment>
  </commentList>
</comments>
</file>

<file path=xl/sharedStrings.xml><?xml version="1.0" encoding="utf-8"?>
<sst xmlns="http://schemas.openxmlformats.org/spreadsheetml/2006/main" count="350" uniqueCount="90">
  <si>
    <t>Type KPI</t>
  </si>
  <si>
    <t>Processus</t>
  </si>
  <si>
    <t>Intitulé</t>
  </si>
  <si>
    <t>Fréquence</t>
  </si>
  <si>
    <t>Rituel</t>
  </si>
  <si>
    <t>Type d’indicateur</t>
  </si>
  <si>
    <t>Unité / Donnée</t>
  </si>
  <si>
    <t>Description / Mode de calcul</t>
  </si>
  <si>
    <t>Logistiport</t>
  </si>
  <si>
    <t>MG Armement</t>
  </si>
  <si>
    <t>Armateur</t>
  </si>
  <si>
    <t>Global site</t>
  </si>
  <si>
    <t>Statut VALIDATION KPI SAP</t>
  </si>
  <si>
    <t>Commentaire</t>
  </si>
  <si>
    <t>Statut validation KPI CDA</t>
  </si>
  <si>
    <t>Commentaire2</t>
  </si>
  <si>
    <t>Contractuel</t>
  </si>
  <si>
    <t>Distribution</t>
  </si>
  <si>
    <t>Volumétrie Distribution</t>
  </si>
  <si>
    <t>Quotidienne</t>
  </si>
  <si>
    <t>Volume</t>
  </si>
  <si>
    <t>Nombre de lignes</t>
  </si>
  <si>
    <t>Nb de lignes de DT distribuées dans la période – comparaison date de confirmation vs date planifiée (-24h)</t>
  </si>
  <si>
    <t>Volume distribution</t>
  </si>
  <si>
    <t>OK</t>
  </si>
  <si>
    <t>Hebdomadaire</t>
  </si>
  <si>
    <t>Mensuelle</t>
  </si>
  <si>
    <t>En cours de Distribution</t>
  </si>
  <si>
    <t>Livraison à date</t>
  </si>
  <si>
    <t>Lignes DT en cours de distribution</t>
  </si>
  <si>
    <t>Non commencé</t>
  </si>
  <si>
    <t>Retard en Distribution</t>
  </si>
  <si>
    <t>Nb de lignes de DT à distribuer en retard</t>
  </si>
  <si>
    <t xml:space="preserve">En cours </t>
  </si>
  <si>
    <t>Ecarts liés probablement au calendrier
Identifier les écarts OK / KO avec Power BI</t>
  </si>
  <si>
    <t>Anticipation des Demandes par périmètre</t>
  </si>
  <si>
    <t>Planification</t>
  </si>
  <si>
    <t>%</t>
  </si>
  <si>
    <t>% DT créées à J-2 et J-3 avant date planifiée</t>
  </si>
  <si>
    <t>Problème sur les mois d'avril et de mai</t>
  </si>
  <si>
    <t xml:space="preserve">Anticipation des demandes </t>
  </si>
  <si>
    <t>Anticipation des demandes</t>
  </si>
  <si>
    <t>Anticipation des Demandes site</t>
  </si>
  <si>
    <t>COPIL</t>
  </si>
  <si>
    <t>Ecarts superficiels entre janvier et mars, mais gros écart avril/mai</t>
  </si>
  <si>
    <t>Volumétrie Urgences Distribution</t>
  </si>
  <si>
    <t>Volumétrie urgences en distribution</t>
  </si>
  <si>
    <t>Nb de lignes distribuées en U/F/P / nb global de lignes distribuées</t>
  </si>
  <si>
    <t>Volume urgences</t>
  </si>
  <si>
    <t>Délai en Distribution</t>
  </si>
  <si>
    <t>Nb de lignes distribuées dans les délais / volume global</t>
  </si>
  <si>
    <t>Respect délai</t>
  </si>
  <si>
    <t>Non contractuel</t>
  </si>
  <si>
    <t>Délai en Distribution hors priorité</t>
  </si>
  <si>
    <t>Nb de lignes distribuées dans les délais / volume global hors priorité</t>
  </si>
  <si>
    <t>Respect délai hors priorité</t>
  </si>
  <si>
    <t>Respect délai hors piorité</t>
  </si>
  <si>
    <t>Respect Délai Urgences</t>
  </si>
  <si>
    <t>Délai</t>
  </si>
  <si>
    <t>Nb de lignes urgentes (U/F/P) distribuées dans les délais / volume total lignes urgentes</t>
  </si>
  <si>
    <t>Ecarts liés probablement au calendrier
Identifier les écarts OK / KO avec Power BI / + gestion du calendrier horaire à voir avec Lucien</t>
  </si>
  <si>
    <t>Respect délai urgences</t>
  </si>
  <si>
    <t>Réclamations clients</t>
  </si>
  <si>
    <t>RC en cours</t>
  </si>
  <si>
    <t>RC par activité</t>
  </si>
  <si>
    <t>Avancement inventaire</t>
  </si>
  <si>
    <t>% inventaire réalisé par typologie produit</t>
  </si>
  <si>
    <t>Fiabilité inventair</t>
  </si>
  <si>
    <t>% article conforme / total inventorié par typologie produi</t>
  </si>
  <si>
    <t>Réception</t>
  </si>
  <si>
    <t>Volumétrie Réception</t>
  </si>
  <si>
    <t>Date/heure d’entrée marchandise vs date/heure d’arrivée (EM) – nombre de lignes réceptionnées</t>
  </si>
  <si>
    <t>Délai en Réception</t>
  </si>
  <si>
    <t>Nb de lignes conformes (sans litiges) réceptionnées dans les délais / volume global</t>
  </si>
  <si>
    <t>Taux de service récep (hors litiiges)</t>
  </si>
  <si>
    <t>Taux de service récep (hors litiges)</t>
  </si>
  <si>
    <t>Ecarts liés probablement au calendrier
Identifier les écarts litiges / non litiges
Identifier les écarts OK / KO avec Power BI
Voir avec Lucien règles précises</t>
  </si>
  <si>
    <t>Volumétrie Urgences Réception</t>
  </si>
  <si>
    <t>Nb de lignes en circuit court réceptionnées et % lignes en circuit court / total lignes réceptionnées</t>
  </si>
  <si>
    <t>Respect Délai Circuit Court</t>
  </si>
  <si>
    <t>Nb de lignes circuit court dans les délais / nb total de lignes circuit court</t>
  </si>
  <si>
    <t>Ecarts liés probablement au calendrier
Identifier les écarts litiges / non litiges
Identifier les écarts OK / KO avec Power BI
Voir avec Lucien règles précises
+ gestion du calendrier horaire à voir avec Lucien</t>
  </si>
  <si>
    <t>En cours de réception</t>
  </si>
  <si>
    <t>Retard en réception</t>
  </si>
  <si>
    <t>A ranger</t>
  </si>
  <si>
    <t>Distribution / Réception</t>
  </si>
  <si>
    <t>Volumétrie Réception / Distribution</t>
  </si>
  <si>
    <t>Nb de lignes de DT distribuées dans la périodes et nombre de lignes réceptionnées dans la période (date EM)</t>
  </si>
  <si>
    <t>Volumétrie LOG</t>
  </si>
  <si>
    <t>Volumétrie MG et débords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</si>
</sst>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45F82"/>
        <bgColor rgb="FF145F82"/>
      </patternFill>
    </fill>
    <fill>
      <patternFill patternType="solid">
        <fgColor rgb="FFC0E4F5"/>
        <bgColor rgb="FFC0E4F5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8">
    <xf numFmtId="0" fontId="0" fillId="0" borderId="0" xfId="0"/>
    <xf numFmtId="0" fontId="4" fillId="3" borderId="1" xfId="0" applyFont="1" applyFill="1" applyBorder="1"/>
    <xf numFmtId="0" fontId="4" fillId="0" borderId="1" xfId="0" applyFont="1" applyBorder="1"/>
    <xf numFmtId="0" fontId="3" fillId="3" borderId="1" xfId="0" applyFont="1" applyFill="1" applyBorder="1"/>
    <xf numFmtId="0" fontId="3" fillId="0" borderId="1" xfId="0" applyFont="1" applyBorder="1"/>
    <xf numFmtId="0" fontId="2" fillId="2" borderId="2" xfId="0" applyFont="1" applyFill="1" applyBorder="1"/>
    <xf numFmtId="0" fontId="3" fillId="3" borderId="3" xfId="0" applyFont="1" applyFill="1" applyBorder="1"/>
    <xf numFmtId="0" fontId="4" fillId="3" borderId="3" xfId="0" applyFont="1" applyFill="1" applyBorder="1"/>
    <xf numFmtId="0" fontId="4" fillId="3" borderId="2" xfId="0" applyFont="1" applyFill="1" applyBorder="1"/>
    <xf numFmtId="0" fontId="1" fillId="3" borderId="2" xfId="1" applyFill="1" applyBorder="1"/>
    <xf numFmtId="0" fontId="1" fillId="3" borderId="1" xfId="1" applyFill="1" applyBorder="1"/>
    <xf numFmtId="0" fontId="1" fillId="3" borderId="3" xfId="1" applyFill="1" applyBorder="1"/>
    <xf numFmtId="0" fontId="4" fillId="4" borderId="1" xfId="0" applyFont="1" applyFill="1" applyBorder="1"/>
    <xf numFmtId="0" fontId="1" fillId="4" borderId="1" xfId="1" applyFill="1" applyBorder="1" applyAlignment="1">
      <alignment wrapText="1"/>
    </xf>
    <xf numFmtId="0" fontId="1" fillId="4" borderId="1" xfId="1" applyFill="1" applyBorder="1"/>
    <xf numFmtId="0" fontId="5" fillId="0" borderId="4" xfId="0" applyFont="1" applyBorder="1"/>
    <xf numFmtId="0" fontId="0" fillId="0" borderId="1" xfId="0" applyBorder="1"/>
    <xf numFmtId="0" fontId="4" fillId="3" borderId="1" xfId="1" applyFont="1" applyFill="1" applyBorder="1" applyAlignment="1">
      <alignment wrapText="1"/>
    </xf>
    <xf numFmtId="0" fontId="3" fillId="4" borderId="4" xfId="0" applyFont="1" applyFill="1" applyBorder="1"/>
    <xf numFmtId="0" fontId="3" fillId="3" borderId="4" xfId="0" applyFont="1" applyFill="1" applyBorder="1"/>
    <xf numFmtId="0" fontId="4" fillId="3" borderId="1" xfId="1" applyFont="1" applyFill="1" applyBorder="1"/>
    <xf numFmtId="0" fontId="0" fillId="0" borderId="3" xfId="0" applyBorder="1"/>
    <xf numFmtId="0" fontId="4" fillId="3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3" borderId="3" xfId="0" applyFont="1" applyFill="1" applyBorder="1" applyAlignment="1">
      <alignment wrapText="1"/>
    </xf>
    <xf numFmtId="0" fontId="0" fillId="0" borderId="0" xfId="0" applyAlignment="1">
      <alignment wrapText="1"/>
    </xf>
    <xf numFmtId="0" fontId="4" fillId="3" borderId="3" xfId="1" applyFont="1" applyFill="1" applyBorder="1"/>
  </cellXfs>
  <cellStyles count="2">
    <cellStyle name="Hyperlink" xfId="1" xr:uid="{00000000-000B-0000-0000-000008000000}"/>
    <cellStyle name="Normal" xfId="0" builtinId="0"/>
  </cellStyles>
  <dxfs count="2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4F5"/>
          <bgColor rgb="FFC0E4F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4F5"/>
          <bgColor rgb="FFC0E4F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4F5"/>
          <bgColor rgb="FFC0E4F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4F5"/>
          <bgColor rgb="FFC0E4F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4F5"/>
          <bgColor rgb="FFC0E4F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4F5"/>
          <bgColor rgb="FFC0E4F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4F5"/>
          <bgColor rgb="FFC0E4F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4F5"/>
          <bgColor rgb="FFC0E4F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4F5"/>
          <bgColor rgb="FFC0E4F5"/>
        </patternFill>
      </fill>
      <alignment wrapText="1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4F5"/>
          <bgColor rgb="FFC0E4F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4F5"/>
          <bgColor rgb="FFC0E4F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4F5"/>
          <bgColor rgb="FFC0E4F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4F5"/>
          <bgColor rgb="FFC0E4F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4F5"/>
          <bgColor rgb="FFC0E4F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4F5"/>
          <bgColor rgb="FFC0E4F5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rgb="FF145F82"/>
          <bgColor rgb="FF145F8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inel Benjamin" id="{E870DC67-19DD-4563-B0FE-1A4842378F71}" userId="S::bpinel@groupe-idea.com::93c6e564-7b19-4922-8429-721e610cbb60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DC6AEC-A825-4079-AA43-4A1481C8003F}" name="Tableau1" displayName="Tableau1" ref="A1:P41" totalsRowShown="0" headerRowDxfId="22" dataDxfId="20" headerRowBorderDxfId="21" tableBorderDxfId="19" totalsRowBorderDxfId="18">
  <autoFilter ref="A1:P41" xr:uid="{EADC6AEC-A825-4079-AA43-4A1481C8003F}"/>
  <tableColumns count="16">
    <tableColumn id="1" xr3:uid="{22C7C9AB-6A9F-4FB1-8856-6273510C52C6}" name="Type KPI" dataDxfId="17"/>
    <tableColumn id="2" xr3:uid="{AA731C2B-2668-4FB5-A6B6-E5D7F8FC4C40}" name="Processus" dataDxfId="16"/>
    <tableColumn id="3" xr3:uid="{756828FB-3AC1-4A69-9C3A-D868425533D3}" name="Intitulé" dataDxfId="15"/>
    <tableColumn id="11" xr3:uid="{FE2C8238-650E-4D14-867F-6C11511303E5}" name="Fréquence"/>
    <tableColumn id="12" xr3:uid="{B5EEA73D-5B54-4300-A9CE-DA4093F8E575}" name="Rituel"/>
    <tableColumn id="4" xr3:uid="{454259F3-B865-44EF-BC42-D44FE66AA88A}" name="Type d’indicateur" dataDxfId="14"/>
    <tableColumn id="5" xr3:uid="{F4B8C041-2B4F-4844-8794-6C68BC38B884}" name="Unité / Donnée" dataDxfId="13"/>
    <tableColumn id="6" xr3:uid="{AEEB605B-CFDB-4CDA-B249-351863D6C44E}" name="Description / Mode de calcul" dataDxfId="12"/>
    <tableColumn id="7" xr3:uid="{DEDA468F-4021-435D-9D4D-8229CE63A6BD}" name="Logistiport" dataDxfId="11"/>
    <tableColumn id="8" xr3:uid="{76151435-D39D-4A28-A32F-40D31A2C32F5}" name="MG Armement" dataDxfId="10">
      <calculatedColumnFormula>TRIM(Tableau1[[#This Row],[Logistiport]])</calculatedColumnFormula>
    </tableColumn>
    <tableColumn id="9" xr3:uid="{C39B69F5-54B2-4A29-8F99-CD2C750CAC02}" name="Armateur" dataDxfId="9"/>
    <tableColumn id="10" xr3:uid="{6E968094-E6B1-4658-9E36-C5E19555D611}" name="Global site" dataDxfId="8"/>
    <tableColumn id="13" xr3:uid="{915C29C0-FD99-4D58-8DBD-604087F356D8}" name="Statut VALIDATION KPI SAP" dataDxfId="7"/>
    <tableColumn id="14" xr3:uid="{13076A7E-5181-4AE4-96DE-EEA572EADAF2}" name="Commentaire" dataDxfId="6"/>
    <tableColumn id="15" xr3:uid="{0DACB3A1-6461-47D5-B9DD-83EAA8FAC828}" name="Statut validation KPI CDA" dataDxfId="5"/>
    <tableColumn id="16" xr3:uid="{7829FC20-9284-468E-BBB5-4BF77662D7E5}" name="Commentaire2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" dT="2026-06-24T13:03:27.01" personId="{E870DC67-19DD-4563-B0FE-1A4842378F71}" id="{3F1153AF-20D2-4AC1-A687-BABF04A26A7D}">
    <text>MG / BAK / DAN / LGB</text>
  </threadedComment>
  <threadedComment ref="L1" dT="2026-06-24T14:43:22.03" personId="{E870DC67-19DD-4563-B0FE-1A4842378F71}" id="{BE9B8969-5670-430E-9B3D-94604390A2C3}">
    <text>hors armateur</text>
  </threadedComment>
</ThreadedComments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pp.powerbi.com/groups/me/reports/6a4cf353-aac8-48de-a793-9a8066069ffc/62748b2b1a0c66bd4a3a?ctid=c8d76d42-5d9d-4eea-b5cb-d16d0a04a59e&amp;pbi_source=shareVisual&amp;visual=2c3043116c0cccd7baa2&amp;height=51.48&amp;width=1140.87&amp;bookmarkGuid=7648cb3e-078c-4825-8464-8cca5f1f9d80" TargetMode="External"/><Relationship Id="rId18" Type="http://schemas.openxmlformats.org/officeDocument/2006/relationships/hyperlink" Target="https://app.powerbi.com/groups/me/reports/6a4cf353-aac8-48de-a793-9a8066069ffc/faec2927b8728b9fd32f?ctid=c8d76d42-5d9d-4eea-b5cb-d16d0a04a59e&amp;pbi_source=shareVisual&amp;visual=b363375b0fb0a4ee1ca2&amp;height=51.48&amp;width=1140.87&amp;bookmarkGuid=e350b190-e898-4df7-97cd-d73d1d9af8e8" TargetMode="External"/><Relationship Id="rId26" Type="http://schemas.openxmlformats.org/officeDocument/2006/relationships/hyperlink" Target="https://app.powerbi.com/groups/me/reports/6a4cf353-aac8-48de-a793-9a8066069ffc/62748b2b1a0c66bd4a3a?ctid=c8d76d42-5d9d-4eea-b5cb-d16d0a04a59e&amp;pbi_source=shareVisual&amp;visual=2d4bfd200734e6a1a37a&amp;height=527.91&amp;width=1253.02&amp;bookmarkGuid=33bb284f-bc44-4458-8bd8-9ad7427c9782" TargetMode="External"/><Relationship Id="rId39" Type="http://schemas.openxmlformats.org/officeDocument/2006/relationships/table" Target="../tables/table1.xml"/><Relationship Id="rId21" Type="http://schemas.openxmlformats.org/officeDocument/2006/relationships/hyperlink" Target="https://app.powerbi.com/groups/me/reports/6a4cf353-aac8-48de-a793-9a8066069ffc/62748b2b1a0c66bd4a3a?ctid=c8d76d42-5d9d-4eea-b5cb-d16d0a04a59e&amp;pbi_source=shareVisual&amp;visual=2c3043116c0cccd7baa2&amp;height=51.48&amp;width=1140.87&amp;bookmarkGuid=5f24eee7-6749-4873-bee9-2b357b4400ef" TargetMode="External"/><Relationship Id="rId34" Type="http://schemas.openxmlformats.org/officeDocument/2006/relationships/hyperlink" Target="https://app.powerbi.com/groups/me/reports/6a4cf353-aac8-48de-a793-9a8066069ffc/faec2927b8728b9fd32f?ctid=c8d76d42-5d9d-4eea-b5cb-d16d0a04a59e&amp;pbi_source=shareVisual&amp;visual=0a117d2c0d0540e332a6&amp;height=550.75&amp;width=1254.63&amp;bookmarkGuid=87089b3f-bba2-4ed7-8bd8-e0898b3ea9a1" TargetMode="External"/><Relationship Id="rId7" Type="http://schemas.openxmlformats.org/officeDocument/2006/relationships/hyperlink" Target="https://app.powerbi.com/links/UWLu7wc3Ez?ctid=c8d76d42-5d9d-4eea-b5cb-d16d0a04a59e&amp;pbi_source=linkShare&amp;bookmarkGuid=c5ad6b5a-7728-45a2-96fb-30590e5c9b06" TargetMode="External"/><Relationship Id="rId2" Type="http://schemas.openxmlformats.org/officeDocument/2006/relationships/hyperlink" Target="https://app.powerbi.com/groups/me/reports/6a4cf353-aac8-48de-a793-9a8066069ffc/62748b2b1a0c66bd4a3a?ctid=c8d76d42-5d9d-4eea-b5cb-d16d0a04a59e&amp;pbi_source=shareVisual&amp;visual=2c3043116c0cccd7baa2&amp;height=51.48&amp;width=1140.87&amp;bookmarkGuid=b5a4a660-ab7f-4b1a-b7e0-a9371564b9fc" TargetMode="External"/><Relationship Id="rId16" Type="http://schemas.openxmlformats.org/officeDocument/2006/relationships/hyperlink" Target="https://app.powerbi.com/groups/me/reports/6a4cf353-aac8-48de-a793-9a8066069ffc/faec2927b8728b9fd32f?ctid=c8d76d42-5d9d-4eea-b5cb-d16d0a04a59e&amp;pbi_source=shareVisual&amp;visual=b363375b0fb0a4ee1ca2&amp;height=51.48&amp;width=1140.87&amp;bookmarkGuid=ccd598d4-eb7f-4a94-bc89-6f9b7c9e2553" TargetMode="External"/><Relationship Id="rId20" Type="http://schemas.openxmlformats.org/officeDocument/2006/relationships/hyperlink" Target="https://app.powerbi.com/groups/me/reports/6a4cf353-aac8-48de-a793-9a8066069ffc/62748b2b1a0c66bd4a3a?ctid=c8d76d42-5d9d-4eea-b5cb-d16d0a04a59e&amp;pbi_source=shareVisual&amp;visual=2c3043116c0cccd7baa2&amp;height=51.48&amp;width=1140.87&amp;bookmarkGuid=5f24eee7-6749-4873-bee9-2b357b4400ef" TargetMode="External"/><Relationship Id="rId29" Type="http://schemas.openxmlformats.org/officeDocument/2006/relationships/hyperlink" Target="https://app.powerbi.com/groups/me/reports/6a4cf353-aac8-48de-a793-9a8066069ffc/faec2927b8728b9fd32f?ctid=c8d76d42-5d9d-4eea-b5cb-d16d0a04a59e&amp;pbi_source=shareVisual&amp;visual=b363375b0fb0a4ee1ca2&amp;height=51.48&amp;width=1140.87&amp;bookmarkGuid=33259259-1fb5-4263-801b-98e23516920c" TargetMode="External"/><Relationship Id="rId41" Type="http://schemas.microsoft.com/office/2017/10/relationships/threadedComment" Target="../threadedComments/threadedComment1.xml"/><Relationship Id="rId1" Type="http://schemas.openxmlformats.org/officeDocument/2006/relationships/hyperlink" Target="https://app.powerbi.com/groups/me/reports/6a4cf353-aac8-48de-a793-9a8066069ffc/faec2927b8728b9fd32f?ctid=c8d76d42-5d9d-4eea-b5cb-d16d0a04a59e&amp;pbi_source=shareVisual&amp;visual=b363375b0fb0a4ee1ca2&amp;height=51.48&amp;width=1140.87&amp;bookmarkGuid=89881988-9ba2-4744-aadb-a7c4eddba3c0" TargetMode="External"/><Relationship Id="rId6" Type="http://schemas.openxmlformats.org/officeDocument/2006/relationships/hyperlink" Target="https://app.powerbi.com/links/UWLu7wc3Ez?ctid=c8d76d42-5d9d-4eea-b5cb-d16d0a04a59e&amp;pbi_source=linkShare&amp;bookmarkGuid=0d73c9ec-35de-455f-91f3-1a1ff1434e55" TargetMode="External"/><Relationship Id="rId11" Type="http://schemas.openxmlformats.org/officeDocument/2006/relationships/hyperlink" Target="https://app.powerbi.com/links/UWLu7wc3Ez?ctid=c8d76d42-5d9d-4eea-b5cb-d16d0a04a59e&amp;pbi_source=linkShare&amp;bookmarkGuid=4344aa40-86bd-49c5-af19-7301dd6721f8" TargetMode="External"/><Relationship Id="rId24" Type="http://schemas.openxmlformats.org/officeDocument/2006/relationships/hyperlink" Target="https://app.powerbi.com/groups/me/reports/6a4cf353-aac8-48de-a793-9a8066069ffc/62748b2b1a0c66bd4a3a?ctid=c8d76d42-5d9d-4eea-b5cb-d16d0a04a59e&amp;pbi_source=shareVisual&amp;visual=2d4bfd200734e6a1a37a&amp;height=527.91&amp;width=1253.02&amp;bookmarkGuid=7d916536-7f1d-4203-86e1-d54f47fa520d" TargetMode="External"/><Relationship Id="rId32" Type="http://schemas.openxmlformats.org/officeDocument/2006/relationships/hyperlink" Target="https://app.powerbi.com/groups/me/reports/6a4cf353-aac8-48de-a793-9a8066069ffc/faec2927b8728b9fd32f?ctid=c8d76d42-5d9d-4eea-b5cb-d16d0a04a59e&amp;pbi_source=shareVisual&amp;visual=b363375b0fb0a4ee1ca2&amp;height=51.48&amp;width=1140.87&amp;bookmarkGuid=24645b9e-ccb7-4d41-bab4-e0ed0a57eee6" TargetMode="External"/><Relationship Id="rId37" Type="http://schemas.openxmlformats.org/officeDocument/2006/relationships/hyperlink" Target="https://app.powerbi.com/groups/me/reports/6a4cf353-aac8-48de-a793-9a8066069ffc/faec2927b8728b9fd32f?ctid=c8d76d42-5d9d-4eea-b5cb-d16d0a04a59e&amp;pbi_source=shareVisual&amp;visual=0a117d2c0d0540e332a6&amp;height=550.75&amp;width=1254.63&amp;bookmarkGuid=87d8f2a4-16d0-43f1-bdd7-ba76ebeba0a4" TargetMode="External"/><Relationship Id="rId40" Type="http://schemas.openxmlformats.org/officeDocument/2006/relationships/comments" Target="../comments1.xml"/><Relationship Id="rId5" Type="http://schemas.openxmlformats.org/officeDocument/2006/relationships/hyperlink" Target="https://app.powerbi.com/groups/me/reports/6a4cf353-aac8-48de-a793-9a8066069ffc/faec2927b8728b9fd32f?ctid=c8d76d42-5d9d-4eea-b5cb-d16d0a04a59e&amp;pbi_source=shareVisual&amp;visual=b363375b0fb0a4ee1ca2&amp;height=51.48&amp;width=1140.87&amp;bookmarkGuid=53d9b3cc-a7a3-4736-84fa-6596273b7f09" TargetMode="External"/><Relationship Id="rId15" Type="http://schemas.openxmlformats.org/officeDocument/2006/relationships/hyperlink" Target="https://app.powerbi.com/groups/me/reports/6a4cf353-aac8-48de-a793-9a8066069ffc/62748b2b1a0c66bd4a3a?ctid=c8d76d42-5d9d-4eea-b5cb-d16d0a04a59e&amp;pbi_source=shareVisual&amp;visual=2d4bfd200734e6a1a37a&amp;height=527.91&amp;width=1253.02&amp;bookmarkGuid=33bb284f-bc44-4458-8bd8-9ad7427c9782" TargetMode="External"/><Relationship Id="rId23" Type="http://schemas.openxmlformats.org/officeDocument/2006/relationships/hyperlink" Target="https://app.powerbi.com/groups/me/reports/6a4cf353-aac8-48de-a793-9a8066069ffc/62748b2b1a0c66bd4a3a?ctid=c8d76d42-5d9d-4eea-b5cb-d16d0a04a59e&amp;pbi_source=shareVisual&amp;visual=2c3043116c0cccd7baa2&amp;height=51.48&amp;width=1140.87&amp;bookmarkGuid=7648cb3e-078c-4825-8464-8cca5f1f9d80" TargetMode="External"/><Relationship Id="rId28" Type="http://schemas.openxmlformats.org/officeDocument/2006/relationships/hyperlink" Target="https://app.powerbi.com/groups/me/reports/6a4cf353-aac8-48de-a793-9a8066069ffc/faec2927b8728b9fd32f?ctid=c8d76d42-5d9d-4eea-b5cb-d16d0a04a59e&amp;pbi_source=shareVisual&amp;visual=b363375b0fb0a4ee1ca2&amp;height=51.48&amp;width=1140.87&amp;bookmarkGuid=53d9b3cc-a7a3-4736-84fa-6596273b7f09" TargetMode="External"/><Relationship Id="rId36" Type="http://schemas.openxmlformats.org/officeDocument/2006/relationships/hyperlink" Target="https://app.powerbi.com/groups/me/reports/6a4cf353-aac8-48de-a793-9a8066069ffc/faec2927b8728b9fd32f?ctid=c8d76d42-5d9d-4eea-b5cb-d16d0a04a59e&amp;pbi_source=shareVisual&amp;visual=0a117d2c0d0540e332a6&amp;height=550.75&amp;width=1254.63&amp;bookmarkGuid=242a1bee-1b86-422f-84bc-a7f6d87ab04e" TargetMode="External"/><Relationship Id="rId10" Type="http://schemas.openxmlformats.org/officeDocument/2006/relationships/hyperlink" Target="https://app.powerbi.com/links/UWLu7wc3Ez?ctid=c8d76d42-5d9d-4eea-b5cb-d16d0a04a59e&amp;pbi_source=linkShare&amp;bookmarkGuid=ebb57e19-6079-48f6-9b9f-c3879d4cd65a" TargetMode="External"/><Relationship Id="rId19" Type="http://schemas.openxmlformats.org/officeDocument/2006/relationships/hyperlink" Target="https://app.powerbi.com/groups/me/reports/6a4cf353-aac8-48de-a793-9a8066069ffc/faec2927b8728b9fd32f?ctid=c8d76d42-5d9d-4eea-b5cb-d16d0a04a59e&amp;pbi_source=shareVisual&amp;visual=b363375b0fb0a4ee1ca2&amp;height=51.48&amp;width=1140.87&amp;bookmarkGuid=f82b16a0-ef0e-4532-8d90-39eeab70d5f9" TargetMode="External"/><Relationship Id="rId31" Type="http://schemas.openxmlformats.org/officeDocument/2006/relationships/hyperlink" Target="https://app.powerbi.com/groups/me/reports/6a4cf353-aac8-48de-a793-9a8066069ffc/62748b2b1a0c66bd4a3a?ctid=c8d76d42-5d9d-4eea-b5cb-d16d0a04a59e&amp;pbi_source=shareVisual&amp;visual=2c3043116c0cccd7baa2&amp;height=51.48&amp;width=1140.87&amp;bookmarkGuid=f9a1885d-2da2-4c68-b30c-da8c4b7283db" TargetMode="External"/><Relationship Id="rId4" Type="http://schemas.openxmlformats.org/officeDocument/2006/relationships/hyperlink" Target="https://app.powerbi.com/groups/me/reports/6a4cf353-aac8-48de-a793-9a8066069ffc/62748b2b1a0c66bd4a3a?ctid=c8d76d42-5d9d-4eea-b5cb-d16d0a04a59e&amp;pbi_source=shareVisual&amp;visual=2c3043116c0cccd7baa2&amp;height=51.48&amp;width=1140.87&amp;bookmarkGuid=58e5620c-6869-4997-8914-cb26ac7fa15a" TargetMode="External"/><Relationship Id="rId9" Type="http://schemas.openxmlformats.org/officeDocument/2006/relationships/hyperlink" Target="https://app.powerbi.com/links/UWLu7wc3Ez?ctid=c8d76d42-5d9d-4eea-b5cb-d16d0a04a59e&amp;pbi_source=linkShare&amp;bookmarkGuid=bc58b5e0-a4de-4483-9e12-c5e4ea8ec8a1" TargetMode="External"/><Relationship Id="rId14" Type="http://schemas.openxmlformats.org/officeDocument/2006/relationships/hyperlink" Target="https://app.powerbi.com/groups/me/reports/6a4cf353-aac8-48de-a793-9a8066069ffc/62748b2b1a0c66bd4a3a?ctid=c8d76d42-5d9d-4eea-b5cb-d16d0a04a59e&amp;pbi_source=shareVisual&amp;visual=2d4bfd200734e6a1a37a&amp;height=527.91&amp;width=1253.02&amp;bookmarkGuid=7d916536-7f1d-4203-86e1-d54f47fa520d" TargetMode="External"/><Relationship Id="rId22" Type="http://schemas.openxmlformats.org/officeDocument/2006/relationships/hyperlink" Target="https://app.powerbi.com/groups/me/reports/6a4cf353-aac8-48de-a793-9a8066069ffc/62748b2b1a0c66bd4a3a?ctid=c8d76d42-5d9d-4eea-b5cb-d16d0a04a59e&amp;pbi_source=shareVisual&amp;visual=2c3043116c0cccd7baa2&amp;height=51.48&amp;width=1140.87&amp;bookmarkGuid=7648cb3e-078c-4825-8464-8cca5f1f9d80" TargetMode="External"/><Relationship Id="rId27" Type="http://schemas.openxmlformats.org/officeDocument/2006/relationships/hyperlink" Target="https://app.powerbi.com/groups/me/reports/6a4cf353-aac8-48de-a793-9a8066069ffc/62748b2b1a0c66bd4a3a?ctid=c8d76d42-5d9d-4eea-b5cb-d16d0a04a59e&amp;pbi_source=shareVisual&amp;visual=2d4bfd200734e6a1a37a&amp;height=527.91&amp;width=1253.02&amp;bookmarkGuid=33bb284f-bc44-4458-8bd8-9ad7427c9782" TargetMode="External"/><Relationship Id="rId30" Type="http://schemas.openxmlformats.org/officeDocument/2006/relationships/hyperlink" Target="https://app.powerbi.com/groups/me/reports/6a4cf353-aac8-48de-a793-9a8066069ffc/faec2927b8728b9fd32f?ctid=c8d76d42-5d9d-4eea-b5cb-d16d0a04a59e&amp;pbi_source=shareVisual&amp;visual=b363375b0fb0a4ee1ca2&amp;height=51.48&amp;width=1140.87&amp;bookmarkGuid=5e2d502b-8642-4a25-ae76-14fae7663882" TargetMode="External"/><Relationship Id="rId35" Type="http://schemas.openxmlformats.org/officeDocument/2006/relationships/hyperlink" Target="https://app.powerbi.com/groups/me/reports/6a4cf353-aac8-48de-a793-9a8066069ffc/faec2927b8728b9fd32f?ctid=c8d76d42-5d9d-4eea-b5cb-d16d0a04a59e&amp;pbi_source=shareVisual&amp;visual=b363375b0fb0a4ee1ca2&amp;height=51.48&amp;width=1140.87&amp;bookmarkGuid=89881988-9ba2-4744-aadb-a7c4eddba3c0" TargetMode="External"/><Relationship Id="rId8" Type="http://schemas.openxmlformats.org/officeDocument/2006/relationships/hyperlink" Target="https://app.powerbi.com/groups/me/reports/6a4cf353-aac8-48de-a793-9a8066069ffc/faec2927b8728b9fd32f?ctid=c8d76d42-5d9d-4eea-b5cb-d16d0a04a59e&amp;pbi_source=shareVisual&amp;visual=b363375b0fb0a4ee1ca2&amp;height=51.48&amp;width=1140.87&amp;bookmarkGuid=b07bac01-25df-4153-a661-7e239c320189" TargetMode="External"/><Relationship Id="rId3" Type="http://schemas.openxmlformats.org/officeDocument/2006/relationships/hyperlink" Target="https://app.powerbi.com/groups/me/reports/6a4cf353-aac8-48de-a793-9a8066069ffc/faec2927b8728b9fd32f?ctid=c8d76d42-5d9d-4eea-b5cb-d16d0a04a59e&amp;pbi_source=shareVisual&amp;visual=b363375b0fb0a4ee1ca2&amp;height=51.48&amp;width=1140.87&amp;bookmarkGuid=b1baa04e-a47f-48fe-9371-244fecc765ee" TargetMode="External"/><Relationship Id="rId12" Type="http://schemas.openxmlformats.org/officeDocument/2006/relationships/hyperlink" Target="https://app.powerbi.com/groups/me/reports/6a4cf353-aac8-48de-a793-9a8066069ffc/62748b2b1a0c66bd4a3a?ctid=c8d76d42-5d9d-4eea-b5cb-d16d0a04a59e&amp;pbi_source=shareVisual&amp;visual=2c3043116c0cccd7baa2&amp;height=51.48&amp;width=1140.87&amp;bookmarkGuid=5f24eee7-6749-4873-bee9-2b357b4400ef" TargetMode="External"/><Relationship Id="rId17" Type="http://schemas.openxmlformats.org/officeDocument/2006/relationships/hyperlink" Target="https://app.powerbi.com/groups/me/reports/6a4cf353-aac8-48de-a793-9a8066069ffc/faec2927b8728b9fd32f?ctid=c8d76d42-5d9d-4eea-b5cb-d16d0a04a59e&amp;pbi_source=shareVisual&amp;visual=b363375b0fb0a4ee1ca2&amp;height=51.48&amp;width=1140.87&amp;bookmarkGuid=1dbef24a-3e92-4314-bac8-ee91630606fc" TargetMode="External"/><Relationship Id="rId25" Type="http://schemas.openxmlformats.org/officeDocument/2006/relationships/hyperlink" Target="https://app.powerbi.com/groups/me/reports/6a4cf353-aac8-48de-a793-9a8066069ffc/62748b2b1a0c66bd4a3a?ctid=c8d76d42-5d9d-4eea-b5cb-d16d0a04a59e&amp;pbi_source=shareVisual&amp;visual=2d4bfd200734e6a1a37a&amp;height=527.91&amp;width=1253.02&amp;bookmarkGuid=7d916536-7f1d-4203-86e1-d54f47fa520d" TargetMode="External"/><Relationship Id="rId33" Type="http://schemas.openxmlformats.org/officeDocument/2006/relationships/hyperlink" Target="https://app.powerbi.com/groups/me/reports/6a4cf353-aac8-48de-a793-9a8066069ffc/faec2927b8728b9fd32f?ctid=c8d76d42-5d9d-4eea-b5cb-d16d0a04a59e&amp;pbi_source=shareVisual&amp;visual=b363375b0fb0a4ee1ca2&amp;height=51.48&amp;width=1140.87&amp;bookmarkGuid=2aeb8da2-25cb-4052-99fe-ecff4c009d02" TargetMode="External"/><Relationship Id="rId38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tabSelected="1" workbookViewId="0">
      <selection sqref="A1:A1048576"/>
    </sheetView>
  </sheetViews>
  <sheetFormatPr baseColWidth="10" defaultColWidth="8.88671875" defaultRowHeight="14.4" x14ac:dyDescent="0.3"/>
  <cols>
    <col min="1" max="1" width="15.5546875" bestFit="1" customWidth="1"/>
    <col min="2" max="2" width="21.6640625" bestFit="1" customWidth="1"/>
    <col min="3" max="3" width="37.33203125" bestFit="1" customWidth="1"/>
    <col min="4" max="4" width="14" bestFit="1" customWidth="1"/>
    <col min="5" max="5" width="8.6640625" bestFit="1" customWidth="1"/>
    <col min="6" max="6" width="32" bestFit="1" customWidth="1"/>
    <col min="7" max="7" width="16.6640625" bestFit="1" customWidth="1"/>
    <col min="8" max="8" width="61.88671875" style="26" customWidth="1"/>
    <col min="9" max="9" width="32.109375" bestFit="1" customWidth="1"/>
    <col min="10" max="10" width="31.5546875" bestFit="1" customWidth="1"/>
    <col min="11" max="11" width="14.88671875" customWidth="1"/>
    <col min="12" max="12" width="25.33203125" bestFit="1" customWidth="1"/>
    <col min="13" max="13" width="30.6640625" bestFit="1" customWidth="1"/>
    <col min="14" max="14" width="35.88671875" customWidth="1"/>
    <col min="15" max="15" width="26.109375" bestFit="1" customWidth="1"/>
    <col min="16" max="16" width="16.88671875" bestFit="1" customWidth="1"/>
  </cols>
  <sheetData>
    <row r="1" spans="1:16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23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spans="1:16" ht="28.8" x14ac:dyDescent="0.3">
      <c r="A2" s="3" t="s">
        <v>16</v>
      </c>
      <c r="B2" s="1" t="s">
        <v>17</v>
      </c>
      <c r="C2" s="1" t="s">
        <v>18</v>
      </c>
      <c r="D2" s="1" t="s">
        <v>19</v>
      </c>
      <c r="E2" s="1"/>
      <c r="F2" s="1" t="s">
        <v>20</v>
      </c>
      <c r="G2" s="1" t="s">
        <v>21</v>
      </c>
      <c r="H2" s="22" t="s">
        <v>22</v>
      </c>
      <c r="I2" s="9" t="s">
        <v>23</v>
      </c>
      <c r="J2" s="9" t="str">
        <f>TRIM(Tableau1[[#This Row],[Logistiport]])</f>
        <v>Volume distribution</v>
      </c>
      <c r="K2" s="8"/>
      <c r="L2" s="9" t="str">
        <f>TRIM(Tableau1[[#This Row],[Logistiport]])</f>
        <v>Volume distribution</v>
      </c>
      <c r="M2" s="8" t="s">
        <v>24</v>
      </c>
      <c r="N2" s="8"/>
      <c r="O2" s="8"/>
      <c r="P2" s="8"/>
    </row>
    <row r="3" spans="1:16" x14ac:dyDescent="0.3">
      <c r="A3" s="3" t="s">
        <v>16</v>
      </c>
      <c r="B3" s="1" t="s">
        <v>17</v>
      </c>
      <c r="C3" s="1" t="s">
        <v>18</v>
      </c>
      <c r="D3" s="1" t="s">
        <v>25</v>
      </c>
      <c r="E3" s="1"/>
      <c r="F3" s="1" t="s">
        <v>20</v>
      </c>
      <c r="G3" s="1" t="s">
        <v>21</v>
      </c>
      <c r="H3" s="22"/>
      <c r="I3" s="9" t="s">
        <v>23</v>
      </c>
      <c r="J3" s="9" t="str">
        <f>TRIM(Tableau1[[#This Row],[Logistiport]])</f>
        <v>Volume distribution</v>
      </c>
      <c r="K3" s="1"/>
      <c r="L3" s="9" t="str">
        <f>TRIM(Tableau1[[#This Row],[Logistiport]])</f>
        <v>Volume distribution</v>
      </c>
      <c r="M3" s="1" t="s">
        <v>24</v>
      </c>
      <c r="N3" s="1"/>
      <c r="O3" s="1"/>
      <c r="P3" s="1"/>
    </row>
    <row r="4" spans="1:16" x14ac:dyDescent="0.3">
      <c r="A4" s="3" t="s">
        <v>16</v>
      </c>
      <c r="B4" s="1" t="s">
        <v>17</v>
      </c>
      <c r="C4" s="1" t="s">
        <v>18</v>
      </c>
      <c r="D4" s="1" t="s">
        <v>26</v>
      </c>
      <c r="E4" s="1"/>
      <c r="F4" s="1" t="s">
        <v>20</v>
      </c>
      <c r="G4" s="1" t="s">
        <v>21</v>
      </c>
      <c r="H4" s="22"/>
      <c r="I4" s="9" t="s">
        <v>23</v>
      </c>
      <c r="J4" s="9" t="str">
        <f>TRIM(Tableau1[[#This Row],[Logistiport]])</f>
        <v>Volume distribution</v>
      </c>
      <c r="K4" s="1"/>
      <c r="L4" s="9" t="str">
        <f>TRIM(Tableau1[[#This Row],[Logistiport]])</f>
        <v>Volume distribution</v>
      </c>
      <c r="M4" s="1" t="s">
        <v>24</v>
      </c>
      <c r="N4" s="1"/>
      <c r="O4" s="1"/>
      <c r="P4" s="1"/>
    </row>
    <row r="5" spans="1:16" x14ac:dyDescent="0.3">
      <c r="A5" s="4" t="s">
        <v>16</v>
      </c>
      <c r="B5" s="2" t="s">
        <v>17</v>
      </c>
      <c r="C5" s="2" t="s">
        <v>27</v>
      </c>
      <c r="D5" s="2" t="s">
        <v>19</v>
      </c>
      <c r="E5" s="2"/>
      <c r="F5" s="2" t="s">
        <v>28</v>
      </c>
      <c r="G5" s="2" t="s">
        <v>21</v>
      </c>
      <c r="H5" s="24" t="s">
        <v>29</v>
      </c>
      <c r="I5" s="12"/>
      <c r="J5" s="12" t="str">
        <f>TRIM(Tableau1[[#This Row],[Logistiport]])</f>
        <v/>
      </c>
      <c r="K5" s="12"/>
      <c r="L5" s="12"/>
      <c r="M5" s="1" t="s">
        <v>30</v>
      </c>
      <c r="N5" s="1"/>
      <c r="O5" s="1"/>
      <c r="P5" s="1"/>
    </row>
    <row r="6" spans="1:16" ht="28.8" x14ac:dyDescent="0.3">
      <c r="A6" s="3" t="s">
        <v>16</v>
      </c>
      <c r="B6" s="1" t="s">
        <v>17</v>
      </c>
      <c r="C6" s="1" t="s">
        <v>31</v>
      </c>
      <c r="D6" s="1" t="s">
        <v>19</v>
      </c>
      <c r="E6" s="1"/>
      <c r="F6" s="1" t="s">
        <v>28</v>
      </c>
      <c r="G6" s="1" t="s">
        <v>21</v>
      </c>
      <c r="H6" s="22" t="s">
        <v>32</v>
      </c>
      <c r="I6" s="1"/>
      <c r="J6" s="1" t="str">
        <f>TRIM(Tableau1[[#This Row],[Logistiport]])</f>
        <v/>
      </c>
      <c r="K6" s="1"/>
      <c r="L6" s="1"/>
      <c r="M6" s="1" t="s">
        <v>33</v>
      </c>
      <c r="N6" s="22" t="s">
        <v>34</v>
      </c>
      <c r="O6" s="1"/>
      <c r="P6" s="1"/>
    </row>
    <row r="7" spans="1:16" x14ac:dyDescent="0.3">
      <c r="A7" s="4" t="s">
        <v>16</v>
      </c>
      <c r="B7" s="2" t="s">
        <v>17</v>
      </c>
      <c r="C7" s="2" t="s">
        <v>35</v>
      </c>
      <c r="D7" s="2" t="s">
        <v>19</v>
      </c>
      <c r="E7" s="2"/>
      <c r="F7" s="2" t="s">
        <v>36</v>
      </c>
      <c r="G7" s="2" t="s">
        <v>37</v>
      </c>
      <c r="H7" s="24" t="s">
        <v>38</v>
      </c>
      <c r="I7" s="13"/>
      <c r="J7" s="13"/>
      <c r="K7" s="12"/>
      <c r="L7" s="12"/>
      <c r="M7" s="1" t="s">
        <v>33</v>
      </c>
      <c r="N7" s="1" t="s">
        <v>39</v>
      </c>
      <c r="O7" s="1"/>
      <c r="P7" s="1"/>
    </row>
    <row r="8" spans="1:16" x14ac:dyDescent="0.3">
      <c r="A8" s="4" t="s">
        <v>16</v>
      </c>
      <c r="B8" s="2" t="s">
        <v>17</v>
      </c>
      <c r="C8" s="2" t="s">
        <v>35</v>
      </c>
      <c r="D8" s="2" t="s">
        <v>25</v>
      </c>
      <c r="E8" s="2"/>
      <c r="F8" s="2" t="s">
        <v>36</v>
      </c>
      <c r="G8" s="2" t="s">
        <v>37</v>
      </c>
      <c r="H8" s="24" t="s">
        <v>38</v>
      </c>
      <c r="I8" s="13"/>
      <c r="J8" s="13"/>
      <c r="K8" s="12"/>
      <c r="L8" s="12"/>
      <c r="M8" s="1" t="s">
        <v>33</v>
      </c>
      <c r="N8" s="1" t="s">
        <v>39</v>
      </c>
      <c r="O8" s="1"/>
      <c r="P8" s="1"/>
    </row>
    <row r="9" spans="1:16" x14ac:dyDescent="0.3">
      <c r="A9" s="4" t="s">
        <v>16</v>
      </c>
      <c r="B9" s="2" t="s">
        <v>17</v>
      </c>
      <c r="C9" s="2" t="s">
        <v>35</v>
      </c>
      <c r="D9" s="2" t="s">
        <v>26</v>
      </c>
      <c r="E9" s="2"/>
      <c r="F9" s="2" t="s">
        <v>36</v>
      </c>
      <c r="G9" s="2" t="s">
        <v>37</v>
      </c>
      <c r="H9" s="24" t="s">
        <v>38</v>
      </c>
      <c r="I9" s="13" t="s">
        <v>40</v>
      </c>
      <c r="J9" s="13" t="s">
        <v>41</v>
      </c>
      <c r="K9" s="12"/>
      <c r="L9" s="12"/>
      <c r="M9" s="1" t="s">
        <v>33</v>
      </c>
      <c r="N9" s="1" t="s">
        <v>39</v>
      </c>
      <c r="O9" s="1"/>
      <c r="P9" s="1"/>
    </row>
    <row r="10" spans="1:16" ht="28.8" x14ac:dyDescent="0.3">
      <c r="A10" s="3" t="s">
        <v>16</v>
      </c>
      <c r="B10" s="2" t="s">
        <v>17</v>
      </c>
      <c r="C10" s="2" t="s">
        <v>42</v>
      </c>
      <c r="D10" s="2" t="s">
        <v>26</v>
      </c>
      <c r="E10" s="2" t="s">
        <v>43</v>
      </c>
      <c r="F10" s="2" t="s">
        <v>36</v>
      </c>
      <c r="G10" s="2" t="s">
        <v>37</v>
      </c>
      <c r="H10" s="24" t="s">
        <v>38</v>
      </c>
      <c r="I10" s="17"/>
      <c r="J10" s="17" t="str">
        <f>TRIM(Tableau1[[#This Row],[Logistiport]])</f>
        <v/>
      </c>
      <c r="K10" s="1"/>
      <c r="L10" s="10" t="s">
        <v>41</v>
      </c>
      <c r="M10" s="1" t="s">
        <v>33</v>
      </c>
      <c r="N10" s="22" t="s">
        <v>44</v>
      </c>
      <c r="O10" s="1"/>
      <c r="P10" s="1"/>
    </row>
    <row r="11" spans="1:16" x14ac:dyDescent="0.3">
      <c r="A11" s="3" t="s">
        <v>16</v>
      </c>
      <c r="B11" s="1" t="s">
        <v>17</v>
      </c>
      <c r="C11" s="1" t="s">
        <v>45</v>
      </c>
      <c r="D11" s="1"/>
      <c r="E11" s="1"/>
      <c r="F11" s="1" t="s">
        <v>46</v>
      </c>
      <c r="G11" s="1" t="s">
        <v>21</v>
      </c>
      <c r="H11" s="22" t="s">
        <v>47</v>
      </c>
      <c r="I11" s="10" t="s">
        <v>48</v>
      </c>
      <c r="J11" s="10" t="s">
        <v>48</v>
      </c>
      <c r="K11" s="1"/>
      <c r="L11" s="1"/>
      <c r="M11" s="1" t="s">
        <v>24</v>
      </c>
      <c r="N11" s="1"/>
      <c r="O11" s="1"/>
      <c r="P11" s="1"/>
    </row>
    <row r="12" spans="1:16" x14ac:dyDescent="0.3">
      <c r="A12" s="3" t="s">
        <v>16</v>
      </c>
      <c r="B12" s="1" t="s">
        <v>17</v>
      </c>
      <c r="C12" s="1" t="s">
        <v>45</v>
      </c>
      <c r="D12" s="1"/>
      <c r="E12" s="1"/>
      <c r="F12" s="1" t="s">
        <v>46</v>
      </c>
      <c r="G12" s="1" t="s">
        <v>21</v>
      </c>
      <c r="H12" s="22" t="s">
        <v>47</v>
      </c>
      <c r="I12" s="10"/>
      <c r="J12" s="10"/>
      <c r="K12" s="1"/>
      <c r="L12" s="1"/>
      <c r="M12" s="1" t="s">
        <v>24</v>
      </c>
      <c r="N12" s="1"/>
      <c r="O12" s="1"/>
      <c r="P12" s="1"/>
    </row>
    <row r="13" spans="1:16" x14ac:dyDescent="0.3">
      <c r="A13" s="3" t="s">
        <v>16</v>
      </c>
      <c r="B13" s="1" t="s">
        <v>17</v>
      </c>
      <c r="C13" s="1" t="s">
        <v>45</v>
      </c>
      <c r="D13" s="1"/>
      <c r="E13" s="1"/>
      <c r="F13" s="1" t="s">
        <v>46</v>
      </c>
      <c r="G13" s="1" t="s">
        <v>21</v>
      </c>
      <c r="H13" s="22" t="s">
        <v>47</v>
      </c>
      <c r="I13" s="10"/>
      <c r="J13" s="10"/>
      <c r="K13" s="1"/>
      <c r="L13" s="1"/>
      <c r="M13" s="1" t="s">
        <v>24</v>
      </c>
      <c r="N13" s="1"/>
      <c r="O13" s="1"/>
      <c r="P13" s="1"/>
    </row>
    <row r="14" spans="1:16" ht="28.8" x14ac:dyDescent="0.3">
      <c r="A14" s="4" t="s">
        <v>16</v>
      </c>
      <c r="B14" s="2" t="s">
        <v>17</v>
      </c>
      <c r="C14" s="2" t="s">
        <v>49</v>
      </c>
      <c r="D14" s="2" t="s">
        <v>19</v>
      </c>
      <c r="E14" s="2"/>
      <c r="F14" s="2" t="s">
        <v>28</v>
      </c>
      <c r="G14" s="2" t="s">
        <v>21</v>
      </c>
      <c r="H14" s="24" t="s">
        <v>50</v>
      </c>
      <c r="I14" s="14"/>
      <c r="J14" s="14"/>
      <c r="K14" s="12"/>
      <c r="L14" s="1"/>
      <c r="M14" s="1" t="s">
        <v>33</v>
      </c>
      <c r="N14" s="22" t="s">
        <v>34</v>
      </c>
      <c r="O14" s="1"/>
      <c r="P14" s="1"/>
    </row>
    <row r="15" spans="1:16" ht="28.8" x14ac:dyDescent="0.3">
      <c r="A15" s="4" t="s">
        <v>16</v>
      </c>
      <c r="B15" s="2" t="s">
        <v>17</v>
      </c>
      <c r="C15" s="2" t="s">
        <v>49</v>
      </c>
      <c r="D15" s="2" t="s">
        <v>25</v>
      </c>
      <c r="E15" s="2"/>
      <c r="F15" s="2" t="s">
        <v>28</v>
      </c>
      <c r="G15" s="2" t="s">
        <v>21</v>
      </c>
      <c r="H15" s="24" t="s">
        <v>50</v>
      </c>
      <c r="I15" s="14"/>
      <c r="J15" s="14"/>
      <c r="K15" s="12"/>
      <c r="L15" s="1"/>
      <c r="M15" s="1" t="s">
        <v>33</v>
      </c>
      <c r="N15" s="22" t="s">
        <v>34</v>
      </c>
      <c r="O15" s="1"/>
      <c r="P15" s="1"/>
    </row>
    <row r="16" spans="1:16" ht="28.8" x14ac:dyDescent="0.3">
      <c r="A16" s="4" t="s">
        <v>16</v>
      </c>
      <c r="B16" s="2" t="s">
        <v>17</v>
      </c>
      <c r="C16" s="2" t="s">
        <v>49</v>
      </c>
      <c r="D16" s="2" t="s">
        <v>26</v>
      </c>
      <c r="E16" s="2"/>
      <c r="F16" s="2" t="s">
        <v>28</v>
      </c>
      <c r="G16" s="2" t="s">
        <v>21</v>
      </c>
      <c r="H16" s="24" t="s">
        <v>50</v>
      </c>
      <c r="I16" s="14" t="s">
        <v>51</v>
      </c>
      <c r="J16" s="14" t="s">
        <v>51</v>
      </c>
      <c r="K16" s="12"/>
      <c r="L16" s="1"/>
      <c r="M16" s="1" t="s">
        <v>33</v>
      </c>
      <c r="N16" s="22" t="s">
        <v>34</v>
      </c>
      <c r="O16" s="1"/>
      <c r="P16" s="1"/>
    </row>
    <row r="17" spans="1:16" ht="28.8" x14ac:dyDescent="0.3">
      <c r="A17" s="4" t="s">
        <v>52</v>
      </c>
      <c r="B17" s="2" t="s">
        <v>17</v>
      </c>
      <c r="C17" s="2" t="s">
        <v>53</v>
      </c>
      <c r="D17" s="2" t="s">
        <v>26</v>
      </c>
      <c r="E17" s="2" t="s">
        <v>43</v>
      </c>
      <c r="F17" s="2" t="s">
        <v>28</v>
      </c>
      <c r="G17" s="2" t="s">
        <v>21</v>
      </c>
      <c r="H17" s="24" t="s">
        <v>54</v>
      </c>
      <c r="I17" s="10" t="s">
        <v>55</v>
      </c>
      <c r="J17" s="10" t="s">
        <v>56</v>
      </c>
      <c r="K17" s="1"/>
      <c r="L17" s="1"/>
      <c r="M17" s="1" t="s">
        <v>33</v>
      </c>
      <c r="N17" s="22" t="s">
        <v>34</v>
      </c>
      <c r="O17" s="1"/>
      <c r="P17" s="1"/>
    </row>
    <row r="18" spans="1:16" ht="63.75" customHeight="1" x14ac:dyDescent="0.3">
      <c r="A18" s="6" t="s">
        <v>16</v>
      </c>
      <c r="B18" s="7" t="s">
        <v>17</v>
      </c>
      <c r="C18" s="7" t="s">
        <v>57</v>
      </c>
      <c r="D18" s="7" t="s">
        <v>19</v>
      </c>
      <c r="E18" s="7"/>
      <c r="F18" s="7" t="s">
        <v>58</v>
      </c>
      <c r="G18" s="7" t="s">
        <v>21</v>
      </c>
      <c r="H18" s="25" t="s">
        <v>59</v>
      </c>
      <c r="I18" s="11"/>
      <c r="J18" s="11"/>
      <c r="K18" s="7"/>
      <c r="L18" s="1"/>
      <c r="M18" s="1" t="s">
        <v>33</v>
      </c>
      <c r="N18" s="22" t="s">
        <v>60</v>
      </c>
      <c r="O18" s="1"/>
      <c r="P18" s="1"/>
    </row>
    <row r="19" spans="1:16" ht="57.6" x14ac:dyDescent="0.3">
      <c r="A19" s="6" t="s">
        <v>16</v>
      </c>
      <c r="B19" s="7" t="s">
        <v>17</v>
      </c>
      <c r="C19" s="7" t="s">
        <v>57</v>
      </c>
      <c r="D19" s="7" t="s">
        <v>25</v>
      </c>
      <c r="E19" s="7"/>
      <c r="F19" s="7" t="s">
        <v>58</v>
      </c>
      <c r="G19" s="7" t="s">
        <v>21</v>
      </c>
      <c r="H19" s="25" t="s">
        <v>59</v>
      </c>
      <c r="I19" s="11"/>
      <c r="J19" s="11"/>
      <c r="K19" s="7"/>
      <c r="L19" s="1"/>
      <c r="M19" s="1" t="s">
        <v>33</v>
      </c>
      <c r="N19" s="22" t="s">
        <v>60</v>
      </c>
      <c r="O19" s="1"/>
      <c r="P19" s="1"/>
    </row>
    <row r="20" spans="1:16" ht="57.6" x14ac:dyDescent="0.3">
      <c r="A20" s="6" t="s">
        <v>16</v>
      </c>
      <c r="B20" s="7" t="s">
        <v>17</v>
      </c>
      <c r="C20" s="7" t="s">
        <v>57</v>
      </c>
      <c r="D20" s="7" t="s">
        <v>26</v>
      </c>
      <c r="E20" s="7"/>
      <c r="F20" s="7" t="s">
        <v>58</v>
      </c>
      <c r="G20" s="7" t="s">
        <v>21</v>
      </c>
      <c r="H20" s="25" t="s">
        <v>59</v>
      </c>
      <c r="I20" s="11" t="s">
        <v>61</v>
      </c>
      <c r="J20" s="11" t="s">
        <v>61</v>
      </c>
      <c r="K20" s="7"/>
      <c r="L20" s="1"/>
      <c r="M20" s="1" t="s">
        <v>33</v>
      </c>
      <c r="N20" s="22" t="s">
        <v>60</v>
      </c>
      <c r="O20" s="1"/>
      <c r="P20" s="1"/>
    </row>
    <row r="21" spans="1:16" x14ac:dyDescent="0.3">
      <c r="A21" s="3" t="s">
        <v>16</v>
      </c>
      <c r="B21" s="1" t="s">
        <v>17</v>
      </c>
      <c r="C21" s="1" t="s">
        <v>62</v>
      </c>
      <c r="D21" s="7"/>
      <c r="E21" s="7"/>
      <c r="F21" s="1" t="s">
        <v>63</v>
      </c>
      <c r="G21" s="1"/>
      <c r="H21" s="22"/>
      <c r="I21" s="20"/>
      <c r="J21" s="20" t="str">
        <f>TRIM(Tableau1[[#This Row],[Logistiport]])</f>
        <v/>
      </c>
      <c r="K21" s="1"/>
      <c r="L21" s="1"/>
      <c r="M21" s="1"/>
      <c r="N21" s="22"/>
      <c r="O21" s="1"/>
      <c r="P21" s="1"/>
    </row>
    <row r="22" spans="1:16" x14ac:dyDescent="0.3">
      <c r="A22" s="3" t="s">
        <v>16</v>
      </c>
      <c r="B22" s="1" t="s">
        <v>17</v>
      </c>
      <c r="C22" s="1" t="s">
        <v>62</v>
      </c>
      <c r="D22" s="7"/>
      <c r="E22" s="7"/>
      <c r="F22" s="1" t="s">
        <v>64</v>
      </c>
      <c r="G22" s="1"/>
      <c r="H22" s="22"/>
      <c r="I22" s="20"/>
      <c r="J22" s="20" t="str">
        <f>TRIM(Tableau1[[#This Row],[Logistiport]])</f>
        <v/>
      </c>
      <c r="K22" s="1"/>
      <c r="L22" s="1"/>
      <c r="M22" s="1"/>
      <c r="N22" s="22"/>
      <c r="O22" s="1"/>
      <c r="P22" s="1"/>
    </row>
    <row r="23" spans="1:16" x14ac:dyDescent="0.3">
      <c r="A23" s="3" t="s">
        <v>16</v>
      </c>
      <c r="B23" s="1" t="s">
        <v>17</v>
      </c>
      <c r="C23" s="1" t="s">
        <v>62</v>
      </c>
      <c r="D23" s="7"/>
      <c r="E23" s="7"/>
      <c r="F23" s="1" t="s">
        <v>64</v>
      </c>
      <c r="G23" s="1"/>
      <c r="H23" s="22"/>
      <c r="I23" s="20"/>
      <c r="J23" s="20" t="str">
        <f>TRIM(Tableau1[[#This Row],[Logistiport]])</f>
        <v/>
      </c>
      <c r="K23" s="1"/>
      <c r="L23" s="1"/>
      <c r="M23" s="1"/>
      <c r="N23" s="22"/>
      <c r="O23" s="1"/>
      <c r="P23" s="1"/>
    </row>
    <row r="24" spans="1:16" x14ac:dyDescent="0.3">
      <c r="A24" s="3" t="s">
        <v>16</v>
      </c>
      <c r="B24" s="1" t="s">
        <v>17</v>
      </c>
      <c r="C24" s="1" t="s">
        <v>65</v>
      </c>
      <c r="D24" s="7" t="s">
        <v>26</v>
      </c>
      <c r="E24" s="7"/>
      <c r="F24" s="1"/>
      <c r="G24" s="1"/>
      <c r="H24" s="22" t="s">
        <v>66</v>
      </c>
      <c r="I24" s="20"/>
      <c r="J24" s="20" t="str">
        <f>TRIM(Tableau1[[#This Row],[Logistiport]])</f>
        <v/>
      </c>
      <c r="K24" s="1"/>
      <c r="L24" s="1"/>
      <c r="M24" s="1"/>
      <c r="N24" s="22"/>
      <c r="O24" s="1"/>
      <c r="P24" s="1"/>
    </row>
    <row r="25" spans="1:16" x14ac:dyDescent="0.3">
      <c r="A25" s="3" t="s">
        <v>16</v>
      </c>
      <c r="B25" s="1" t="s">
        <v>17</v>
      </c>
      <c r="C25" s="1" t="s">
        <v>67</v>
      </c>
      <c r="D25" s="7" t="s">
        <v>26</v>
      </c>
      <c r="E25" s="7"/>
      <c r="F25" s="1"/>
      <c r="G25" s="1"/>
      <c r="H25" s="22" t="s">
        <v>68</v>
      </c>
      <c r="I25" s="20"/>
      <c r="J25" s="20" t="str">
        <f>TRIM(Tableau1[[#This Row],[Logistiport]])</f>
        <v/>
      </c>
      <c r="K25" s="1"/>
      <c r="L25" s="1"/>
      <c r="M25" s="1"/>
      <c r="N25" s="22"/>
      <c r="O25" s="1"/>
      <c r="P25" s="1"/>
    </row>
    <row r="26" spans="1:16" ht="28.8" x14ac:dyDescent="0.3">
      <c r="A26" s="15" t="s">
        <v>16</v>
      </c>
      <c r="B26" s="16" t="s">
        <v>69</v>
      </c>
      <c r="C26" s="16" t="s">
        <v>70</v>
      </c>
      <c r="D26" s="16" t="s">
        <v>19</v>
      </c>
      <c r="E26" s="16"/>
      <c r="F26" s="1" t="s">
        <v>20</v>
      </c>
      <c r="G26" s="1" t="s">
        <v>21</v>
      </c>
      <c r="H26" s="22" t="s">
        <v>71</v>
      </c>
      <c r="I26" s="1"/>
      <c r="J26" s="1"/>
      <c r="K26" s="1"/>
      <c r="L26" s="1"/>
      <c r="M26" s="1" t="s">
        <v>24</v>
      </c>
      <c r="N26" s="22"/>
      <c r="O26" s="1"/>
      <c r="P26" s="1"/>
    </row>
    <row r="27" spans="1:16" ht="28.8" x14ac:dyDescent="0.3">
      <c r="A27" s="15" t="s">
        <v>16</v>
      </c>
      <c r="B27" s="16" t="s">
        <v>69</v>
      </c>
      <c r="C27" s="16" t="s">
        <v>70</v>
      </c>
      <c r="D27" s="16" t="s">
        <v>25</v>
      </c>
      <c r="E27" s="16"/>
      <c r="F27" s="1" t="s">
        <v>20</v>
      </c>
      <c r="G27" s="1" t="s">
        <v>21</v>
      </c>
      <c r="H27" s="22" t="s">
        <v>71</v>
      </c>
      <c r="I27" s="1"/>
      <c r="J27" s="1"/>
      <c r="K27" s="1"/>
      <c r="L27" s="1"/>
      <c r="M27" s="1" t="s">
        <v>24</v>
      </c>
      <c r="N27" s="22"/>
      <c r="O27" s="1"/>
      <c r="P27" s="1"/>
    </row>
    <row r="28" spans="1:16" ht="28.8" x14ac:dyDescent="0.3">
      <c r="A28" s="15" t="s">
        <v>16</v>
      </c>
      <c r="B28" s="16" t="s">
        <v>69</v>
      </c>
      <c r="C28" s="16" t="s">
        <v>70</v>
      </c>
      <c r="D28" s="16" t="s">
        <v>26</v>
      </c>
      <c r="E28" s="16"/>
      <c r="F28" s="1" t="s">
        <v>20</v>
      </c>
      <c r="G28" s="1" t="s">
        <v>21</v>
      </c>
      <c r="H28" s="22" t="s">
        <v>71</v>
      </c>
      <c r="I28" s="1"/>
      <c r="J28" s="1"/>
      <c r="K28" s="1"/>
      <c r="L28" s="1"/>
      <c r="M28" s="1" t="s">
        <v>24</v>
      </c>
      <c r="N28" s="22"/>
      <c r="O28" s="1"/>
      <c r="P28" s="1"/>
    </row>
    <row r="29" spans="1:16" ht="57.6" x14ac:dyDescent="0.3">
      <c r="A29" s="15" t="s">
        <v>16</v>
      </c>
      <c r="B29" s="16" t="s">
        <v>69</v>
      </c>
      <c r="C29" s="16" t="s">
        <v>72</v>
      </c>
      <c r="D29" s="21" t="s">
        <v>19</v>
      </c>
      <c r="E29" s="21"/>
      <c r="F29" s="7" t="s">
        <v>28</v>
      </c>
      <c r="G29" s="7" t="s">
        <v>21</v>
      </c>
      <c r="H29" s="25" t="s">
        <v>73</v>
      </c>
      <c r="I29" s="11" t="s">
        <v>74</v>
      </c>
      <c r="J29" s="11" t="s">
        <v>75</v>
      </c>
      <c r="K29" s="7"/>
      <c r="L29" s="7"/>
      <c r="M29" s="1" t="s">
        <v>33</v>
      </c>
      <c r="N29" s="22" t="s">
        <v>76</v>
      </c>
      <c r="O29" s="1"/>
      <c r="P29" s="1"/>
    </row>
    <row r="30" spans="1:16" ht="57.6" x14ac:dyDescent="0.3">
      <c r="A30" s="15" t="s">
        <v>16</v>
      </c>
      <c r="B30" s="16" t="s">
        <v>69</v>
      </c>
      <c r="C30" s="16" t="s">
        <v>72</v>
      </c>
      <c r="D30" s="21" t="s">
        <v>25</v>
      </c>
      <c r="E30" s="21"/>
      <c r="F30" s="7" t="s">
        <v>28</v>
      </c>
      <c r="G30" s="7" t="s">
        <v>21</v>
      </c>
      <c r="H30" s="25" t="s">
        <v>73</v>
      </c>
      <c r="I30" s="11" t="s">
        <v>74</v>
      </c>
      <c r="J30" s="11" t="s">
        <v>75</v>
      </c>
      <c r="K30" s="7"/>
      <c r="L30" s="7"/>
      <c r="M30" s="1" t="s">
        <v>33</v>
      </c>
      <c r="N30" s="22" t="s">
        <v>76</v>
      </c>
      <c r="O30" s="1"/>
      <c r="P30" s="1"/>
    </row>
    <row r="31" spans="1:16" ht="57.6" x14ac:dyDescent="0.3">
      <c r="A31" s="15" t="s">
        <v>16</v>
      </c>
      <c r="B31" s="16" t="s">
        <v>69</v>
      </c>
      <c r="C31" s="16" t="s">
        <v>72</v>
      </c>
      <c r="D31" s="21" t="s">
        <v>26</v>
      </c>
      <c r="E31" s="21" t="s">
        <v>43</v>
      </c>
      <c r="F31" s="7" t="s">
        <v>28</v>
      </c>
      <c r="G31" s="7" t="s">
        <v>21</v>
      </c>
      <c r="H31" s="25" t="s">
        <v>73</v>
      </c>
      <c r="I31" s="11" t="s">
        <v>74</v>
      </c>
      <c r="J31" s="11" t="s">
        <v>75</v>
      </c>
      <c r="K31" s="7"/>
      <c r="L31" s="7"/>
      <c r="M31" s="1" t="s">
        <v>33</v>
      </c>
      <c r="N31" s="22" t="s">
        <v>76</v>
      </c>
      <c r="O31" s="1"/>
      <c r="P31" s="1"/>
    </row>
    <row r="32" spans="1:16" ht="28.8" x14ac:dyDescent="0.3">
      <c r="A32" s="18" t="s">
        <v>16</v>
      </c>
      <c r="B32" s="12" t="s">
        <v>69</v>
      </c>
      <c r="C32" s="12" t="s">
        <v>77</v>
      </c>
      <c r="D32" s="12" t="s">
        <v>19</v>
      </c>
      <c r="E32" s="12"/>
      <c r="F32" s="1" t="s">
        <v>20</v>
      </c>
      <c r="G32" s="1" t="s">
        <v>21</v>
      </c>
      <c r="H32" s="22" t="s">
        <v>78</v>
      </c>
      <c r="I32" s="10" t="s">
        <v>48</v>
      </c>
      <c r="J32" s="10" t="s">
        <v>48</v>
      </c>
      <c r="K32" s="1"/>
      <c r="L32" s="1"/>
      <c r="M32" s="1" t="s">
        <v>24</v>
      </c>
      <c r="N32" s="1"/>
      <c r="O32" s="1"/>
      <c r="P32" s="1"/>
    </row>
    <row r="33" spans="1:16" ht="28.8" x14ac:dyDescent="0.3">
      <c r="A33" s="18" t="s">
        <v>16</v>
      </c>
      <c r="B33" s="12" t="s">
        <v>69</v>
      </c>
      <c r="C33" s="12" t="s">
        <v>77</v>
      </c>
      <c r="D33" s="12" t="s">
        <v>25</v>
      </c>
      <c r="E33" s="12"/>
      <c r="F33" s="1" t="s">
        <v>20</v>
      </c>
      <c r="G33" s="1" t="s">
        <v>21</v>
      </c>
      <c r="H33" s="22" t="s">
        <v>78</v>
      </c>
      <c r="I33" s="10" t="s">
        <v>48</v>
      </c>
      <c r="J33" s="10" t="s">
        <v>48</v>
      </c>
      <c r="K33" s="1"/>
      <c r="L33" s="1"/>
      <c r="M33" s="1" t="s">
        <v>24</v>
      </c>
      <c r="N33" s="1"/>
      <c r="O33" s="1"/>
      <c r="P33" s="1"/>
    </row>
    <row r="34" spans="1:16" ht="28.8" x14ac:dyDescent="0.3">
      <c r="A34" s="18" t="s">
        <v>16</v>
      </c>
      <c r="B34" s="12" t="s">
        <v>69</v>
      </c>
      <c r="C34" s="12" t="s">
        <v>77</v>
      </c>
      <c r="D34" s="12" t="s">
        <v>26</v>
      </c>
      <c r="E34" s="12"/>
      <c r="F34" s="1" t="s">
        <v>20</v>
      </c>
      <c r="G34" s="1" t="s">
        <v>21</v>
      </c>
      <c r="H34" s="22" t="s">
        <v>78</v>
      </c>
      <c r="I34" s="10" t="s">
        <v>48</v>
      </c>
      <c r="J34" s="10" t="s">
        <v>48</v>
      </c>
      <c r="K34" s="1"/>
      <c r="L34" s="1"/>
      <c r="M34" s="1" t="s">
        <v>24</v>
      </c>
      <c r="N34" s="1"/>
      <c r="O34" s="1"/>
      <c r="P34" s="1"/>
    </row>
    <row r="35" spans="1:16" ht="86.4" x14ac:dyDescent="0.3">
      <c r="A35" s="19" t="s">
        <v>16</v>
      </c>
      <c r="B35" s="20" t="s">
        <v>69</v>
      </c>
      <c r="C35" s="20" t="s">
        <v>79</v>
      </c>
      <c r="D35" s="20" t="s">
        <v>19</v>
      </c>
      <c r="E35" s="20"/>
      <c r="F35" s="1" t="s">
        <v>58</v>
      </c>
      <c r="G35" s="20" t="s">
        <v>21</v>
      </c>
      <c r="H35" s="22" t="s">
        <v>80</v>
      </c>
      <c r="I35" s="1"/>
      <c r="J35" s="1"/>
      <c r="K35" s="1"/>
      <c r="L35" s="1"/>
      <c r="M35" s="1" t="s">
        <v>33</v>
      </c>
      <c r="N35" s="22" t="s">
        <v>81</v>
      </c>
      <c r="O35" s="1"/>
      <c r="P35" s="1"/>
    </row>
    <row r="36" spans="1:16" ht="86.4" x14ac:dyDescent="0.3">
      <c r="A36" s="19" t="s">
        <v>16</v>
      </c>
      <c r="B36" s="20" t="s">
        <v>69</v>
      </c>
      <c r="C36" s="20" t="s">
        <v>79</v>
      </c>
      <c r="D36" s="20" t="s">
        <v>25</v>
      </c>
      <c r="E36" s="20"/>
      <c r="F36" s="1" t="s">
        <v>58</v>
      </c>
      <c r="G36" s="20" t="s">
        <v>21</v>
      </c>
      <c r="H36" s="22" t="s">
        <v>80</v>
      </c>
      <c r="I36" s="1"/>
      <c r="J36" s="1"/>
      <c r="K36" s="1"/>
      <c r="L36" s="1"/>
      <c r="M36" s="1" t="s">
        <v>33</v>
      </c>
      <c r="N36" s="22" t="s">
        <v>81</v>
      </c>
      <c r="O36" s="1"/>
      <c r="P36" s="1"/>
    </row>
    <row r="37" spans="1:16" ht="86.4" x14ac:dyDescent="0.3">
      <c r="A37" s="19" t="s">
        <v>16</v>
      </c>
      <c r="B37" s="20" t="s">
        <v>69</v>
      </c>
      <c r="C37" s="20" t="s">
        <v>79</v>
      </c>
      <c r="D37" s="20" t="s">
        <v>26</v>
      </c>
      <c r="E37" s="20"/>
      <c r="F37" s="1" t="s">
        <v>58</v>
      </c>
      <c r="G37" s="20" t="s">
        <v>21</v>
      </c>
      <c r="H37" s="22" t="s">
        <v>80</v>
      </c>
      <c r="I37" s="1"/>
      <c r="J37" s="1"/>
      <c r="K37" s="1"/>
      <c r="L37" s="1"/>
      <c r="M37" s="1" t="s">
        <v>33</v>
      </c>
      <c r="N37" s="22" t="s">
        <v>81</v>
      </c>
      <c r="O37" s="1"/>
      <c r="P37" s="1"/>
    </row>
    <row r="38" spans="1:16" x14ac:dyDescent="0.3">
      <c r="A38" s="3" t="s">
        <v>16</v>
      </c>
      <c r="B38" s="20" t="s">
        <v>69</v>
      </c>
      <c r="C38" s="20" t="s">
        <v>82</v>
      </c>
      <c r="D38" s="27" t="s">
        <v>19</v>
      </c>
      <c r="E38" s="27"/>
      <c r="F38" s="1"/>
      <c r="G38" s="20"/>
      <c r="H38" s="22"/>
      <c r="I38" s="1"/>
      <c r="J38" s="1" t="str">
        <f>TRIM(Tableau1[[#This Row],[Logistiport]])</f>
        <v/>
      </c>
      <c r="K38" s="1"/>
      <c r="L38" s="1"/>
      <c r="M38" s="1"/>
      <c r="N38" s="22"/>
      <c r="O38" s="1"/>
      <c r="P38" s="1"/>
    </row>
    <row r="39" spans="1:16" x14ac:dyDescent="0.3">
      <c r="A39" s="3" t="s">
        <v>16</v>
      </c>
      <c r="B39" s="20" t="s">
        <v>69</v>
      </c>
      <c r="C39" s="20" t="s">
        <v>83</v>
      </c>
      <c r="D39" s="27" t="s">
        <v>19</v>
      </c>
      <c r="E39" s="27"/>
      <c r="F39" s="1"/>
      <c r="G39" s="20"/>
      <c r="H39" s="22"/>
      <c r="I39" s="1"/>
      <c r="J39" s="1" t="str">
        <f>TRIM(Tableau1[[#This Row],[Logistiport]])</f>
        <v/>
      </c>
      <c r="K39" s="1"/>
      <c r="L39" s="1"/>
      <c r="M39" s="1"/>
      <c r="N39" s="22"/>
      <c r="O39" s="1"/>
      <c r="P39" s="1"/>
    </row>
    <row r="40" spans="1:16" x14ac:dyDescent="0.3">
      <c r="A40" s="3" t="s">
        <v>16</v>
      </c>
      <c r="B40" s="20" t="s">
        <v>69</v>
      </c>
      <c r="C40" s="20" t="s">
        <v>84</v>
      </c>
      <c r="D40" s="27" t="s">
        <v>19</v>
      </c>
      <c r="E40" s="27"/>
      <c r="F40" s="1"/>
      <c r="G40" s="20"/>
      <c r="H40" s="22"/>
      <c r="I40" s="1"/>
      <c r="J40" s="1" t="str">
        <f>TRIM(Tableau1[[#This Row],[Logistiport]])</f>
        <v/>
      </c>
      <c r="K40" s="1"/>
      <c r="L40" s="1"/>
      <c r="M40" s="1"/>
      <c r="N40" s="22"/>
      <c r="O40" s="1"/>
      <c r="P40" s="1"/>
    </row>
    <row r="41" spans="1:16" ht="28.8" x14ac:dyDescent="0.3">
      <c r="A41" s="6" t="s">
        <v>16</v>
      </c>
      <c r="B41" s="7" t="s">
        <v>85</v>
      </c>
      <c r="C41" s="7" t="s">
        <v>86</v>
      </c>
      <c r="D41" s="7" t="s">
        <v>26</v>
      </c>
      <c r="E41" s="7"/>
      <c r="F41" s="7" t="s">
        <v>28</v>
      </c>
      <c r="G41" s="7" t="s">
        <v>21</v>
      </c>
      <c r="H41" s="25" t="s">
        <v>87</v>
      </c>
      <c r="I41" s="11" t="s">
        <v>88</v>
      </c>
      <c r="J41" s="11" t="s">
        <v>89</v>
      </c>
      <c r="K41" s="7"/>
      <c r="L41" s="7"/>
      <c r="M41" s="1" t="s">
        <v>24</v>
      </c>
      <c r="N41" s="1"/>
      <c r="O41" s="1"/>
      <c r="P41" s="1"/>
    </row>
  </sheetData>
  <conditionalFormatting sqref="M1:M1048576">
    <cfRule type="containsText" dxfId="3" priority="1" operator="containsText" text="Problème">
      <formula>NOT(ISERROR(SEARCH("Problème",M1)))</formula>
    </cfRule>
    <cfRule type="containsText" dxfId="2" priority="2" operator="containsText" text="Non commencé">
      <formula>NOT(ISERROR(SEARCH("Non commencé",M1)))</formula>
    </cfRule>
    <cfRule type="containsText" dxfId="1" priority="3" operator="containsText" text="En cours">
      <formula>NOT(ISERROR(SEARCH("En cours",M1)))</formula>
    </cfRule>
    <cfRule type="containsText" dxfId="0" priority="4" operator="containsText" text="OK">
      <formula>NOT(ISERROR(SEARCH("OK",M1)))</formula>
    </cfRule>
  </conditionalFormatting>
  <hyperlinks>
    <hyperlink ref="J4" r:id="rId1" display="=SUPPRESPACE([@Logistiport])" xr:uid="{980C22BA-B767-443E-AA8F-EE28888358D2}"/>
    <hyperlink ref="I11" r:id="rId2" xr:uid="{0EA7CEA3-F5E0-41D0-982D-DAE1686B7291}"/>
    <hyperlink ref="J9" r:id="rId3" xr:uid="{074E3D09-A4B4-487E-BC0A-FB7A680E40C2}"/>
    <hyperlink ref="J11" r:id="rId4" xr:uid="{850ED7A0-3FFF-4530-AEA5-0CDEF882131A}"/>
    <hyperlink ref="I4" r:id="rId5" xr:uid="{9B91D556-C096-4256-818C-8FE13C3426AD}"/>
    <hyperlink ref="I17" r:id="rId6" xr:uid="{B50E0905-25B4-4719-8D64-DA6F456C1C7F}"/>
    <hyperlink ref="J17" r:id="rId7" xr:uid="{1C5A3CE4-A7A0-458F-B387-12A93C8C90EE}"/>
    <hyperlink ref="I9" r:id="rId8" display="Anticipation des demandes armement" xr:uid="{FA7789A8-CB5E-4803-98DA-87783619E474}"/>
    <hyperlink ref="L10" r:id="rId9" xr:uid="{AB6F5CD9-9778-43FC-AA7D-09D812DB37CD}"/>
    <hyperlink ref="I41" r:id="rId10" xr:uid="{73961448-E31B-4FA5-93E5-17F9E6AFA403}"/>
    <hyperlink ref="J41" r:id="rId11" xr:uid="{D4BE1B9C-68BD-4287-8AB1-50406FF6C6A4}"/>
    <hyperlink ref="J34" r:id="rId12" xr:uid="{40B89FCE-B426-4606-8870-B45B023F2F5B}"/>
    <hyperlink ref="I34" r:id="rId13" xr:uid="{387EB259-8848-4664-96F3-17D4B316FA75}"/>
    <hyperlink ref="J31" r:id="rId14" display="Taux de service récep" xr:uid="{47DA1CE4-E95D-4912-862C-73A3AA063BD4}"/>
    <hyperlink ref="I31" r:id="rId15" display="Taux de service récep" xr:uid="{BABB7286-CF1D-49BA-88DE-D4BCA5953C49}"/>
    <hyperlink ref="I16" r:id="rId16" display="Respect délai global" xr:uid="{0FF65F6B-900F-42DE-AE78-3580868CBDB2}"/>
    <hyperlink ref="J16" r:id="rId17" display="Respect délai global" xr:uid="{58C1D167-FCFD-4658-86C7-BAA183B0FC4A}"/>
    <hyperlink ref="J20" r:id="rId18" xr:uid="{9DC8C40B-D519-4476-B6FD-7B16A6717D5B}"/>
    <hyperlink ref="I20" r:id="rId19" xr:uid="{52CAD61C-11DA-4A53-9145-0037B27BC905}"/>
    <hyperlink ref="J32" r:id="rId20" xr:uid="{C62EE681-2F02-403C-B838-149C74284931}"/>
    <hyperlink ref="J33" r:id="rId21" xr:uid="{6AFD12AD-87F0-4D6B-B58C-3B7998827E0F}"/>
    <hyperlink ref="I32" r:id="rId22" xr:uid="{7471CD89-9CA7-46A1-BFB4-91C1C3964C08}"/>
    <hyperlink ref="I33" r:id="rId23" xr:uid="{D5657765-5CA5-4676-BFDE-ED60C9D72B80}"/>
    <hyperlink ref="J29" r:id="rId24" display="Taux de service récep" xr:uid="{48B7ABA1-6742-4331-81C3-32D1DDFDE01C}"/>
    <hyperlink ref="J30" r:id="rId25" display="Taux de service récep" xr:uid="{2BE5983A-FE9C-406B-B6B7-20A41F1CDF77}"/>
    <hyperlink ref="I29" r:id="rId26" display="Taux de service récep" xr:uid="{A520C109-6A3D-4D78-B121-784D86B8119B}"/>
    <hyperlink ref="I30" r:id="rId27" display="Taux de service récep" xr:uid="{675DA9B6-D26D-4D21-A78B-14DD54D8DC4A}"/>
    <hyperlink ref="I2:I3" r:id="rId28" display="Volume distribution" xr:uid="{F42BABF7-18F1-4DE6-A605-599E78C8D84B}"/>
    <hyperlink ref="I3" r:id="rId29" xr:uid="{E88F2168-7FEC-49B1-925D-2440D1A0BF45}"/>
    <hyperlink ref="I2" r:id="rId30" xr:uid="{23364B9E-06E3-4C31-9622-C89D67035705}"/>
    <hyperlink ref="J2:J3" r:id="rId31" display="Volume distribution" xr:uid="{B28817B3-6EF5-43F5-814A-79CCBCCB82AA}"/>
    <hyperlink ref="J2" r:id="rId32" display="=SUPPRESPACE([@Logistiport])" xr:uid="{F4A05081-B35D-4C5D-B34A-8CE608BE7599}"/>
    <hyperlink ref="J3" r:id="rId33" display="=SUPPRESPACE([@Logistiport])" xr:uid="{E759F1F1-D346-40DD-BD6F-2A9B45F9FDC8}"/>
    <hyperlink ref="L4" r:id="rId34" display="=SUPPRESPACE([@Logistiport])" xr:uid="{1C130CCD-0596-49E7-A333-0EA561D545E7}"/>
    <hyperlink ref="L2:L3" r:id="rId35" display="=SUPPRESPACE([@Logistiport])" xr:uid="{C63E5C7C-F37E-4A9F-8088-E4814F6666E1}"/>
    <hyperlink ref="L3" r:id="rId36" display="=SUPPRESPACE([@Logistiport])" xr:uid="{D709D2DA-70ED-4F06-9E22-6F8376567E6D}"/>
    <hyperlink ref="L2" r:id="rId37" display="=SUPPRESPACE([@Logistiport])" xr:uid="{5376CAFB-7E65-4633-B403-4A9A08893850}"/>
  </hyperlinks>
  <pageMargins left="0.7" right="0.7" top="0.75" bottom="0.75" header="0.3" footer="0.3"/>
  <legacyDrawing r:id="rId38"/>
  <tableParts count="1">
    <tablePart r:id="rId39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F5B821BF63D54585E85CF45088868F" ma:contentTypeVersion="30" ma:contentTypeDescription="Create a new document." ma:contentTypeScope="" ma:versionID="a4138e820a25ac32db7b87e90d6478a3">
  <xsd:schema xmlns:xsd="http://www.w3.org/2001/XMLSchema" xmlns:xs="http://www.w3.org/2001/XMLSchema" xmlns:p="http://schemas.microsoft.com/office/2006/metadata/properties" xmlns:ns2="705c1853-7f94-4f3f-b3c6-03811e57eef9" xmlns:ns3="b3e4a4c6-a7b6-4148-ba68-f7c5919a6cb0" targetNamespace="http://schemas.microsoft.com/office/2006/metadata/properties" ma:root="true" ma:fieldsID="6a66e7d1990d8a98a6608e2adf3cf0f2" ns2:_="" ns3:_="">
    <xsd:import namespace="705c1853-7f94-4f3f-b3c6-03811e57eef9"/>
    <xsd:import namespace="b3e4a4c6-a7b6-4148-ba68-f7c5919a6c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CONFIDENTIALIT_x00c9_" minOccurs="0"/>
                <xsd:element ref="ns3:RGPD" minOccurs="0"/>
                <xsd:element ref="ns3:SECRETDEFENSE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Date" minOccurs="0"/>
                <xsd:element ref="ns3:Donn_x00e9_es_x00e0_caract_x00e8_respersonnel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5c1853-7f94-4f3f-b3c6-03811e57eef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2378fe8-4b40-4dbd-842d-bee15fcef6f7}" ma:internalName="TaxCatchAll" ma:showField="CatchAllData" ma:web="705c1853-7f94-4f3f-b3c6-03811e57ee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e4a4c6-a7b6-4148-ba68-f7c5919a6c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CONFIDENTIALIT_x00c9_" ma:index="14" nillable="true" ma:displayName="CONFIDENTIALITÉ" ma:description="Chaque information doit être traitée conformément à son niveau de protection, il est indispensable d'affecter un niveau de protection (étiquetage) à chaque nouveau document. Un document doit être protégé suivant l'information la plus sensible qu'il contient." ma:format="Dropdown" ma:internalName="CONFIDENTIALIT_x00c9_">
      <xsd:simpleType>
        <xsd:restriction base="dms:Choice">
          <xsd:enumeration value="C1 - PUBLIC"/>
          <xsd:enumeration value="C2 - INTERNE"/>
          <xsd:enumeration value="C3 - RESTREINT"/>
          <xsd:enumeration value="C4 - CONFIDENTIEL"/>
        </xsd:restriction>
      </xsd:simpleType>
    </xsd:element>
    <xsd:element name="RGPD" ma:index="15" nillable="true" ma:displayName="RGPD" ma:description="La réglementation générale de la protection de donnée impose une catégorisation de la donnée pour toutes les entreprises européennes en fonction du caractère personnel et sensible de la donnée." ma:format="Dropdown" ma:internalName="RGPD">
      <xsd:simpleType>
        <xsd:restriction base="dms:Choice">
          <xsd:enumeration value="DCP"/>
          <xsd:enumeration value="DCPS"/>
        </xsd:restriction>
      </xsd:simpleType>
    </xsd:element>
    <xsd:element name="SECRETDEFENSE" ma:index="16" nillable="true" ma:displayName="SECRET DEFENSE" ma:default="0" ma:description="Ce sont les documents et données classifiés secret-défense afin de protéger certaines informations dont la divulgation serait de nature à nuire aux intérêts de la protection de la Défense nationale." ma:format="Dropdown" ma:internalName="SECRETDEFEN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bc906e8-7337-49b1-a561-5b3fff4482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Date" ma:index="26" nillable="true" ma:displayName="Date" ma:format="DateOnly" ma:internalName="Date">
      <xsd:simpleType>
        <xsd:restriction base="dms:DateTime"/>
      </xsd:simpleType>
    </xsd:element>
    <xsd:element name="Donn_x00e9_es_x00e0_caract_x00e8_respersonnels" ma:index="27" nillable="true" ma:displayName="Données à caractères personnels" ma:format="Dropdown" ma:internalName="Donn_x00e9_es_x00e0_caract_x00e8_respersonnels">
      <xsd:simpleType>
        <xsd:restriction base="dms:Choice">
          <xsd:enumeration value="Oui"/>
        </xsd:restriction>
      </xsd:simpleType>
    </xsd:element>
    <xsd:element name="_Flow_SignoffStatus" ma:index="28" nillable="true" ma:displayName="Sign-off status" ma:internalName="Sign_x002d_off_x0020_status">
      <xsd:simpleType>
        <xsd:restriction base="dms:Text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FIDENTIALIT_x00c9_ xmlns="b3e4a4c6-a7b6-4148-ba68-f7c5919a6cb0" xsi:nil="true"/>
    <lcf76f155ced4ddcb4097134ff3c332f xmlns="b3e4a4c6-a7b6-4148-ba68-f7c5919a6cb0">
      <Terms xmlns="http://schemas.microsoft.com/office/infopath/2007/PartnerControls"/>
    </lcf76f155ced4ddcb4097134ff3c332f>
    <Date xmlns="b3e4a4c6-a7b6-4148-ba68-f7c5919a6cb0" xsi:nil="true"/>
    <Donn_x00e9_es_x00e0_caract_x00e8_respersonnels xmlns="b3e4a4c6-a7b6-4148-ba68-f7c5919a6cb0" xsi:nil="true"/>
    <TaxCatchAll xmlns="705c1853-7f94-4f3f-b3c6-03811e57eef9" xsi:nil="true"/>
    <_Flow_SignoffStatus xmlns="b3e4a4c6-a7b6-4148-ba68-f7c5919a6cb0" xsi:nil="true"/>
    <SECRETDEFENSE xmlns="b3e4a4c6-a7b6-4148-ba68-f7c5919a6cb0">false</SECRETDEFENSE>
    <RGPD xmlns="b3e4a4c6-a7b6-4148-ba68-f7c5919a6cb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ABA4C9-6332-47E5-99F8-473549C15F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5c1853-7f94-4f3f-b3c6-03811e57eef9"/>
    <ds:schemaRef ds:uri="b3e4a4c6-a7b6-4148-ba68-f7c5919a6c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A3FBDFF-95F2-4C2E-9E3A-0B0E7B221675}">
  <ds:schemaRefs>
    <ds:schemaRef ds:uri="http://schemas.microsoft.com/office/2006/metadata/properties"/>
    <ds:schemaRef ds:uri="http://schemas.microsoft.com/office/infopath/2007/PartnerControls"/>
    <ds:schemaRef ds:uri="b3e4a4c6-a7b6-4148-ba68-f7c5919a6cb0"/>
    <ds:schemaRef ds:uri="705c1853-7f94-4f3f-b3c6-03811e57eef9"/>
  </ds:schemaRefs>
</ds:datastoreItem>
</file>

<file path=customXml/itemProps3.xml><?xml version="1.0" encoding="utf-8"?>
<ds:datastoreItem xmlns:ds="http://schemas.openxmlformats.org/officeDocument/2006/customXml" ds:itemID="{42191A97-5663-46F9-AB28-622ABC20C1A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RANCE Clement</dc:creator>
  <cp:keywords/>
  <dc:description/>
  <cp:lastModifiedBy>RANCE Clement</cp:lastModifiedBy>
  <cp:revision/>
  <dcterms:created xsi:type="dcterms:W3CDTF">2015-06-05T18:19:34Z</dcterms:created>
  <dcterms:modified xsi:type="dcterms:W3CDTF">2026-06-25T10:23:49Z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0x010100DDF5B821BF63D54585E85CF45088868F</vt:lpwstr>
  </property>
  <property fmtid="{D5CDD505-2E9C-101B-9397-08002B2CF9AE}" pid="3" name="MediaServiceImageTags">
    <vt:lpwstr/>
  </property>
</Properties>
</file>